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dd5d17b7d50e8a/Documents/"/>
    </mc:Choice>
  </mc:AlternateContent>
  <xr:revisionPtr revIDLastSave="0" documentId="8_{CF35A2B6-261C-423E-A650-0F63D4B934FF}" xr6:coauthVersionLast="47" xr6:coauthVersionMax="47" xr10:uidLastSave="{00000000-0000-0000-0000-000000000000}"/>
  <bookViews>
    <workbookView xWindow="-120" yWindow="-120" windowWidth="29040" windowHeight="15720" xr2:uid="{E9699313-B669-4B23-9A08-0137FA122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5" i="1"/>
  <c r="T8" i="1"/>
  <c r="T10" i="1"/>
  <c r="T9" i="1"/>
  <c r="T2" i="1"/>
  <c r="T1" i="1"/>
  <c r="T4" i="1"/>
  <c r="T6" i="1"/>
  <c r="T7" i="1"/>
  <c r="T11" i="1"/>
  <c r="T12" i="1"/>
  <c r="T13" i="1"/>
  <c r="T14" i="1"/>
  <c r="T15" i="1"/>
  <c r="T16" i="1"/>
  <c r="T17" i="1"/>
  <c r="T18" i="1"/>
  <c r="T19" i="1"/>
  <c r="T20" i="1"/>
</calcChain>
</file>

<file path=xl/sharedStrings.xml><?xml version="1.0" encoding="utf-8"?>
<sst xmlns="http://schemas.openxmlformats.org/spreadsheetml/2006/main" count="149" uniqueCount="123">
  <si>
    <t>Emp_ID</t>
  </si>
  <si>
    <t>Name</t>
  </si>
  <si>
    <t>Department</t>
  </si>
  <si>
    <t>Join_Date</t>
  </si>
  <si>
    <t>DOB</t>
  </si>
  <si>
    <t>Last_Promotion</t>
  </si>
  <si>
    <t>E001</t>
  </si>
  <si>
    <t>Amit Kumar</t>
  </si>
  <si>
    <t>HR</t>
  </si>
  <si>
    <t>3/15/2020</t>
  </si>
  <si>
    <t>E002</t>
  </si>
  <si>
    <t>Priya Sharma</t>
  </si>
  <si>
    <t>IT</t>
  </si>
  <si>
    <t>5/25/1992</t>
  </si>
  <si>
    <t>4/18/2023</t>
  </si>
  <si>
    <t>E003</t>
  </si>
  <si>
    <t>Rohan Verma</t>
  </si>
  <si>
    <t>Finance</t>
  </si>
  <si>
    <t>2/14/1994</t>
  </si>
  <si>
    <t>E004</t>
  </si>
  <si>
    <t>Neha Singh</t>
  </si>
  <si>
    <t>Marketing</t>
  </si>
  <si>
    <t>6/21/2018</t>
  </si>
  <si>
    <t>E005</t>
  </si>
  <si>
    <t>Vivek Yadav</t>
  </si>
  <si>
    <t>4/19/2022</t>
  </si>
  <si>
    <t>11/30/1995</t>
  </si>
  <si>
    <t>5/15/2023</t>
  </si>
  <si>
    <t>E006</t>
  </si>
  <si>
    <t>Kavita Joshi</t>
  </si>
  <si>
    <t>1/30/2020</t>
  </si>
  <si>
    <t>12/17/1989</t>
  </si>
  <si>
    <t>E007</t>
  </si>
  <si>
    <t>Manish Gupta</t>
  </si>
  <si>
    <t>7/14/2021</t>
  </si>
  <si>
    <t>E008</t>
  </si>
  <si>
    <t>Sneha Patil</t>
  </si>
  <si>
    <t>12/27/2019</t>
  </si>
  <si>
    <t>3/28/1990</t>
  </si>
  <si>
    <t>6/30/2021</t>
  </si>
  <si>
    <t>E009</t>
  </si>
  <si>
    <t>Ankit Jain</t>
  </si>
  <si>
    <t>5/25/2022</t>
  </si>
  <si>
    <t>E010</t>
  </si>
  <si>
    <t>Shreya Mehta</t>
  </si>
  <si>
    <t>1/19/1996</t>
  </si>
  <si>
    <t>11/25/2022</t>
  </si>
  <si>
    <t>E011</t>
  </si>
  <si>
    <t>Rajesh Kumar</t>
  </si>
  <si>
    <t>12/15/2020</t>
  </si>
  <si>
    <t>8/29/1992</t>
  </si>
  <si>
    <t>E012</t>
  </si>
  <si>
    <t>Pooja Rani</t>
  </si>
  <si>
    <t>5/14/1991</t>
  </si>
  <si>
    <t>E013</t>
  </si>
  <si>
    <t>Deepak Singh</t>
  </si>
  <si>
    <t>1/22/2022</t>
  </si>
  <si>
    <t>2/25/1995</t>
  </si>
  <si>
    <t>2/18/2023</t>
  </si>
  <si>
    <t>E014</t>
  </si>
  <si>
    <t>Anjali Nair</t>
  </si>
  <si>
    <t>7/30/1989</t>
  </si>
  <si>
    <t>E015</t>
  </si>
  <si>
    <t>Suresh Babu</t>
  </si>
  <si>
    <t>4/18/2018</t>
  </si>
  <si>
    <t>5/19/2021</t>
  </si>
  <si>
    <t>E016</t>
  </si>
  <si>
    <t>Rekha Rao</t>
  </si>
  <si>
    <t>6/21/2022</t>
  </si>
  <si>
    <t>E017</t>
  </si>
  <si>
    <t>Ajay Kumar</t>
  </si>
  <si>
    <t>9/23/1994</t>
  </si>
  <si>
    <t>9/15/2021</t>
  </si>
  <si>
    <t>E018</t>
  </si>
  <si>
    <t>Sonia Kapoor</t>
  </si>
  <si>
    <t>4/20/2023</t>
  </si>
  <si>
    <t>E019</t>
  </si>
  <si>
    <t>Varun Das</t>
  </si>
  <si>
    <t>6/25/2020</t>
  </si>
  <si>
    <t>4/16/1992</t>
  </si>
  <si>
    <t>7/17/2022</t>
  </si>
  <si>
    <t>E020</t>
  </si>
  <si>
    <t>Meera Iyer</t>
  </si>
  <si>
    <t>5/14/2018</t>
  </si>
  <si>
    <t>E021</t>
  </si>
  <si>
    <t>Karan Singh</t>
  </si>
  <si>
    <t>8/22/2021</t>
  </si>
  <si>
    <t>3/15/1990</t>
  </si>
  <si>
    <t>1/29/2023</t>
  </si>
  <si>
    <t>E022</t>
  </si>
  <si>
    <t>Aditi Mishra</t>
  </si>
  <si>
    <t>6/22/1988</t>
  </si>
  <si>
    <t>3/30/2022</t>
  </si>
  <si>
    <t>E023</t>
  </si>
  <si>
    <t>Sunil Joshi</t>
  </si>
  <si>
    <t>5/16/2021</t>
  </si>
  <si>
    <t>E024</t>
  </si>
  <si>
    <t>Ritu Sharma</t>
  </si>
  <si>
    <t>9/29/2019</t>
  </si>
  <si>
    <t>1/28/1991</t>
  </si>
  <si>
    <t>7/13/2021</t>
  </si>
  <si>
    <t>E025</t>
  </si>
  <si>
    <t>Arjun Malhotra</t>
  </si>
  <si>
    <t>7/18/2022</t>
  </si>
  <si>
    <t>10/22/1995</t>
  </si>
  <si>
    <t>E026</t>
  </si>
  <si>
    <t>Komal Chauhan</t>
  </si>
  <si>
    <t>4/26/2020</t>
  </si>
  <si>
    <t>8/18/2022</t>
  </si>
  <si>
    <t>E027</t>
  </si>
  <si>
    <t>Mohit Gupta</t>
  </si>
  <si>
    <t>2/15/1992</t>
  </si>
  <si>
    <t>E028</t>
  </si>
  <si>
    <t>Divya Sharma</t>
  </si>
  <si>
    <t>4/14/2021</t>
  </si>
  <si>
    <t>E029</t>
  </si>
  <si>
    <t>Nitin Kumar</t>
  </si>
  <si>
    <t>5/21/2019</t>
  </si>
  <si>
    <t>12/29/1994</t>
  </si>
  <si>
    <t>E030</t>
  </si>
  <si>
    <t>Swati Verma</t>
  </si>
  <si>
    <t>4/18/1989</t>
  </si>
  <si>
    <t>2/28/2023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</si>
</sst>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D8AB-D61A-47BF-B7BD-AE415CC21F29}">
  <dimension ref="A1:T31"/>
  <sheetViews>
    <sheetView tabSelected="1" workbookViewId="0">
      <selection activeCell="T1" sqref="T1"/>
    </sheetView>
  </sheetViews>
  <sheetFormatPr defaultRowHeight="15" x14ac:dyDescent="0.25"/>
  <cols>
    <col min="1" max="1" width="15.5703125" bestFit="1" customWidth="1"/>
    <col min="4" max="6" width="11.5703125" bestFit="1" customWidth="1"/>
    <col min="20" max="20" width="15.5703125" bestFit="1" customWidth="1"/>
  </cols>
  <sheetData>
    <row r="1" spans="1:20" ht="48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T1" s="1">
        <f ca="1">TODAY()</f>
        <v>46090</v>
      </c>
    </row>
    <row r="2" spans="1:20" ht="32.25" thickBot="1" x14ac:dyDescent="0.3">
      <c r="A2" s="4" t="s">
        <v>6</v>
      </c>
      <c r="B2" s="4" t="s">
        <v>7</v>
      </c>
      <c r="C2" s="4" t="s">
        <v>8</v>
      </c>
      <c r="D2" s="5" t="s">
        <v>9</v>
      </c>
      <c r="E2" s="6">
        <v>33214</v>
      </c>
      <c r="F2" s="6">
        <v>44563</v>
      </c>
      <c r="T2" s="2">
        <f ca="1">NOW()</f>
        <v>46090.633299074078</v>
      </c>
    </row>
    <row r="3" spans="1:20" ht="32.25" thickBot="1" x14ac:dyDescent="0.3">
      <c r="A3" s="4" t="s">
        <v>10</v>
      </c>
      <c r="B3" s="4" t="s">
        <v>11</v>
      </c>
      <c r="C3" s="4" t="s">
        <v>12</v>
      </c>
      <c r="D3" s="6">
        <v>43746</v>
      </c>
      <c r="E3" s="5" t="s">
        <v>13</v>
      </c>
      <c r="F3" s="5" t="s">
        <v>14</v>
      </c>
      <c r="T3" t="e">
        <f ca="1">DATEDIF(D2,TODAY(),"Y")</f>
        <v>#VALUE!</v>
      </c>
    </row>
    <row r="4" spans="1:20" ht="32.25" thickBot="1" x14ac:dyDescent="0.3">
      <c r="A4" s="4" t="s">
        <v>15</v>
      </c>
      <c r="B4" s="4" t="s">
        <v>16</v>
      </c>
      <c r="C4" s="4" t="s">
        <v>17</v>
      </c>
      <c r="D4" s="6">
        <v>44327</v>
      </c>
      <c r="E4" s="5" t="s">
        <v>18</v>
      </c>
      <c r="F4" s="6">
        <v>44907</v>
      </c>
      <c r="T4" t="e">
        <f ca="1">DATEDIF(D2,TODAY(),"D")</f>
        <v>#VALUE!</v>
      </c>
    </row>
    <row r="5" spans="1:20" ht="32.25" thickBot="1" x14ac:dyDescent="0.3">
      <c r="A5" s="4" t="s">
        <v>19</v>
      </c>
      <c r="B5" s="4" t="s">
        <v>20</v>
      </c>
      <c r="C5" s="4" t="s">
        <v>21</v>
      </c>
      <c r="D5" s="5" t="s">
        <v>22</v>
      </c>
      <c r="E5" s="6">
        <v>33490</v>
      </c>
      <c r="F5" s="6">
        <v>44204</v>
      </c>
      <c r="T5" t="e">
        <f ca="1">DATEDIF(D2,TODAY(),"M")</f>
        <v>#VALUE!</v>
      </c>
    </row>
    <row r="6" spans="1:20" ht="32.25" thickBot="1" x14ac:dyDescent="0.3">
      <c r="A6" s="4" t="s">
        <v>23</v>
      </c>
      <c r="B6" s="4" t="s">
        <v>24</v>
      </c>
      <c r="C6" s="4" t="s">
        <v>12</v>
      </c>
      <c r="D6" s="5" t="s">
        <v>25</v>
      </c>
      <c r="E6" s="5" t="s">
        <v>26</v>
      </c>
      <c r="F6" s="5" t="s">
        <v>27</v>
      </c>
      <c r="T6">
        <f ca="1">DATEDIF(E2,TODAY(),"Y")</f>
        <v>35</v>
      </c>
    </row>
    <row r="7" spans="1:20" ht="32.25" thickBot="1" x14ac:dyDescent="0.3">
      <c r="A7" s="4" t="s">
        <v>28</v>
      </c>
      <c r="B7" s="4" t="s">
        <v>29</v>
      </c>
      <c r="C7" s="4" t="s">
        <v>8</v>
      </c>
      <c r="D7" s="5" t="s">
        <v>30</v>
      </c>
      <c r="E7" s="5" t="s">
        <v>31</v>
      </c>
      <c r="F7" s="6">
        <v>44751</v>
      </c>
      <c r="T7" t="str">
        <f ca="1">DATEDIF(E2,TODAY(),"Y")&amp;" Years "&amp;DATEDIF(E2,TODAY(),"YM")&amp;" Months "&amp;DATEDIF(E2,TODAY(),"MD")&amp;" Days"</f>
        <v>35 Years 3 Months 2 Days</v>
      </c>
    </row>
    <row r="8" spans="1:20" ht="32.25" thickBot="1" x14ac:dyDescent="0.3">
      <c r="A8" s="4" t="s">
        <v>32</v>
      </c>
      <c r="B8" s="4" t="s">
        <v>33</v>
      </c>
      <c r="C8" s="4" t="s">
        <v>17</v>
      </c>
      <c r="D8" s="5" t="s">
        <v>34</v>
      </c>
      <c r="E8" s="6">
        <v>34097</v>
      </c>
      <c r="F8" s="6">
        <v>44958</v>
      </c>
      <c r="T8" t="e">
        <f>YEAR(D2)</f>
        <v>#VALUE!</v>
      </c>
    </row>
    <row r="9" spans="1:20" ht="32.25" thickBot="1" x14ac:dyDescent="0.3">
      <c r="A9" s="4" t="s">
        <v>35</v>
      </c>
      <c r="B9" s="4" t="s">
        <v>36</v>
      </c>
      <c r="C9" s="4" t="s">
        <v>21</v>
      </c>
      <c r="D9" s="5" t="s">
        <v>37</v>
      </c>
      <c r="E9" s="5" t="s">
        <v>38</v>
      </c>
      <c r="F9" s="5" t="s">
        <v>39</v>
      </c>
      <c r="T9" t="e">
        <f>MONTH(D2)</f>
        <v>#VALUE!</v>
      </c>
    </row>
    <row r="10" spans="1:20" ht="32.25" thickBot="1" x14ac:dyDescent="0.3">
      <c r="A10" s="4" t="s">
        <v>40</v>
      </c>
      <c r="B10" s="4" t="s">
        <v>41</v>
      </c>
      <c r="C10" s="4" t="s">
        <v>12</v>
      </c>
      <c r="D10" s="5" t="s">
        <v>42</v>
      </c>
      <c r="E10" s="6">
        <v>34613</v>
      </c>
      <c r="F10" s="6">
        <v>45233</v>
      </c>
      <c r="T10" t="e">
        <f>DAY(D2)</f>
        <v>#VALUE!</v>
      </c>
    </row>
    <row r="11" spans="1:20" ht="32.25" thickBot="1" x14ac:dyDescent="0.3">
      <c r="A11" s="4" t="s">
        <v>43</v>
      </c>
      <c r="B11" s="4" t="s">
        <v>44</v>
      </c>
      <c r="C11" s="4" t="s">
        <v>8</v>
      </c>
      <c r="D11" s="6">
        <v>44264</v>
      </c>
      <c r="E11" s="5" t="s">
        <v>45</v>
      </c>
      <c r="F11" s="5" t="s">
        <v>46</v>
      </c>
      <c r="T11">
        <f>YEAR(E2)</f>
        <v>1990</v>
      </c>
    </row>
    <row r="12" spans="1:20" ht="32.25" thickBot="1" x14ac:dyDescent="0.3">
      <c r="A12" s="4" t="s">
        <v>47</v>
      </c>
      <c r="B12" s="4" t="s">
        <v>48</v>
      </c>
      <c r="C12" s="4" t="s">
        <v>17</v>
      </c>
      <c r="D12" s="5" t="s">
        <v>49</v>
      </c>
      <c r="E12" s="5" t="s">
        <v>50</v>
      </c>
      <c r="F12" s="6">
        <v>44781</v>
      </c>
      <c r="T12">
        <f>MONTH(E2)</f>
        <v>12</v>
      </c>
    </row>
    <row r="13" spans="1:20" ht="32.25" thickBot="1" x14ac:dyDescent="0.3">
      <c r="A13" s="4" t="s">
        <v>51</v>
      </c>
      <c r="B13" s="4" t="s">
        <v>52</v>
      </c>
      <c r="C13" s="4" t="s">
        <v>21</v>
      </c>
      <c r="D13" s="6">
        <v>43565</v>
      </c>
      <c r="E13" s="5" t="s">
        <v>53</v>
      </c>
      <c r="F13" s="6">
        <v>44542</v>
      </c>
      <c r="T13">
        <f>DAY(E2)</f>
        <v>7</v>
      </c>
    </row>
    <row r="14" spans="1:20" ht="32.25" thickBot="1" x14ac:dyDescent="0.3">
      <c r="A14" s="4" t="s">
        <v>54</v>
      </c>
      <c r="B14" s="4" t="s">
        <v>55</v>
      </c>
      <c r="C14" s="4" t="s">
        <v>12</v>
      </c>
      <c r="D14" s="5" t="s">
        <v>56</v>
      </c>
      <c r="E14" s="5" t="s">
        <v>57</v>
      </c>
      <c r="F14" s="5" t="s">
        <v>58</v>
      </c>
      <c r="T14">
        <f ca="1">DATEDIF(F2,TODAY(),"Y")</f>
        <v>4</v>
      </c>
    </row>
    <row r="15" spans="1:20" ht="32.25" thickBot="1" x14ac:dyDescent="0.3">
      <c r="A15" s="4" t="s">
        <v>59</v>
      </c>
      <c r="B15" s="4" t="s">
        <v>60</v>
      </c>
      <c r="C15" s="4" t="s">
        <v>8</v>
      </c>
      <c r="D15" s="6">
        <v>44051</v>
      </c>
      <c r="E15" s="5" t="s">
        <v>61</v>
      </c>
      <c r="F15" s="6">
        <v>44691</v>
      </c>
      <c r="T15">
        <f ca="1">DATEDIF(F2,TODAY(),"D")</f>
        <v>1527</v>
      </c>
    </row>
    <row r="16" spans="1:20" ht="32.25" thickBot="1" x14ac:dyDescent="0.3">
      <c r="A16" s="4" t="s">
        <v>62</v>
      </c>
      <c r="B16" s="4" t="s">
        <v>63</v>
      </c>
      <c r="C16" s="4" t="s">
        <v>17</v>
      </c>
      <c r="D16" s="5" t="s">
        <v>64</v>
      </c>
      <c r="E16" s="6">
        <v>34314</v>
      </c>
      <c r="F16" s="5" t="s">
        <v>65</v>
      </c>
      <c r="T16">
        <f ca="1">DATEDIF(F2,TODAY(),"M")</f>
        <v>50</v>
      </c>
    </row>
    <row r="17" spans="1:20" ht="32.25" thickBot="1" x14ac:dyDescent="0.3">
      <c r="A17" s="4" t="s">
        <v>66</v>
      </c>
      <c r="B17" s="4" t="s">
        <v>67</v>
      </c>
      <c r="C17" s="4" t="s">
        <v>21</v>
      </c>
      <c r="D17" s="6">
        <v>44472</v>
      </c>
      <c r="E17" s="6">
        <v>32875</v>
      </c>
      <c r="F17" s="5" t="s">
        <v>68</v>
      </c>
      <c r="T17">
        <f ca="1">YEAR(TODAY())</f>
        <v>2026</v>
      </c>
    </row>
    <row r="18" spans="1:20" ht="32.25" thickBot="1" x14ac:dyDescent="0.3">
      <c r="A18" s="4" t="s">
        <v>69</v>
      </c>
      <c r="B18" s="4" t="s">
        <v>70</v>
      </c>
      <c r="C18" s="4" t="s">
        <v>12</v>
      </c>
      <c r="D18" s="6">
        <v>43653</v>
      </c>
      <c r="E18" s="5" t="s">
        <v>71</v>
      </c>
      <c r="F18" s="5" t="s">
        <v>72</v>
      </c>
      <c r="T18">
        <f ca="1">MONTH(TODAY())</f>
        <v>3</v>
      </c>
    </row>
    <row r="19" spans="1:20" ht="32.25" thickBot="1" x14ac:dyDescent="0.3">
      <c r="A19" s="4" t="s">
        <v>73</v>
      </c>
      <c r="B19" s="4" t="s">
        <v>74</v>
      </c>
      <c r="C19" s="4" t="s">
        <v>8</v>
      </c>
      <c r="D19" s="6">
        <v>44867</v>
      </c>
      <c r="E19" s="6">
        <v>33368</v>
      </c>
      <c r="F19" s="5" t="s">
        <v>75</v>
      </c>
      <c r="T19">
        <f ca="1">DAY(TODAY())</f>
        <v>9</v>
      </c>
    </row>
    <row r="20" spans="1:20" ht="32.25" thickBot="1" x14ac:dyDescent="0.3">
      <c r="A20" s="4" t="s">
        <v>76</v>
      </c>
      <c r="B20" s="4" t="s">
        <v>77</v>
      </c>
      <c r="C20" s="4" t="s">
        <v>17</v>
      </c>
      <c r="D20" s="5" t="s">
        <v>78</v>
      </c>
      <c r="E20" s="5" t="s">
        <v>79</v>
      </c>
      <c r="F20" s="5" t="s">
        <v>80</v>
      </c>
      <c r="T20" t="str">
        <f ca="1">TEXT(NOW(),"HH:MM:SS")</f>
        <v>15:11:57</v>
      </c>
    </row>
    <row r="21" spans="1:20" ht="32.25" thickBot="1" x14ac:dyDescent="0.3">
      <c r="A21" s="4" t="s">
        <v>81</v>
      </c>
      <c r="B21" s="4" t="s">
        <v>82</v>
      </c>
      <c r="C21" s="4" t="s">
        <v>21</v>
      </c>
      <c r="D21" s="5" t="s">
        <v>83</v>
      </c>
      <c r="E21" s="6">
        <v>34801</v>
      </c>
      <c r="F21" s="6">
        <v>44419</v>
      </c>
    </row>
    <row r="22" spans="1:20" ht="32.25" thickBot="1" x14ac:dyDescent="0.3">
      <c r="A22" s="4" t="s">
        <v>84</v>
      </c>
      <c r="B22" s="4" t="s">
        <v>85</v>
      </c>
      <c r="C22" s="4" t="s">
        <v>12</v>
      </c>
      <c r="D22" s="5" t="s">
        <v>86</v>
      </c>
      <c r="E22" s="5" t="s">
        <v>87</v>
      </c>
      <c r="F22" s="5" t="s">
        <v>88</v>
      </c>
    </row>
    <row r="23" spans="1:20" ht="32.25" thickBot="1" x14ac:dyDescent="0.3">
      <c r="A23" s="4" t="s">
        <v>89</v>
      </c>
      <c r="B23" s="4" t="s">
        <v>90</v>
      </c>
      <c r="C23" s="4" t="s">
        <v>8</v>
      </c>
      <c r="D23" s="6">
        <v>44085</v>
      </c>
      <c r="E23" s="5" t="s">
        <v>91</v>
      </c>
      <c r="F23" s="5" t="s">
        <v>92</v>
      </c>
    </row>
    <row r="24" spans="1:20" ht="32.25" thickBot="1" x14ac:dyDescent="0.3">
      <c r="A24" s="4" t="s">
        <v>93</v>
      </c>
      <c r="B24" s="4" t="s">
        <v>94</v>
      </c>
      <c r="C24" s="4" t="s">
        <v>17</v>
      </c>
      <c r="D24" s="5" t="s">
        <v>95</v>
      </c>
      <c r="E24" s="6">
        <v>34646</v>
      </c>
      <c r="F24" s="6">
        <v>45201</v>
      </c>
    </row>
    <row r="25" spans="1:20" ht="32.25" thickBot="1" x14ac:dyDescent="0.3">
      <c r="A25" s="4" t="s">
        <v>96</v>
      </c>
      <c r="B25" s="4" t="s">
        <v>97</v>
      </c>
      <c r="C25" s="4" t="s">
        <v>21</v>
      </c>
      <c r="D25" s="5" t="s">
        <v>98</v>
      </c>
      <c r="E25" s="5" t="s">
        <v>99</v>
      </c>
      <c r="F25" s="5" t="s">
        <v>100</v>
      </c>
    </row>
    <row r="26" spans="1:20" ht="48" thickBot="1" x14ac:dyDescent="0.3">
      <c r="A26" s="4" t="s">
        <v>101</v>
      </c>
      <c r="B26" s="4" t="s">
        <v>102</v>
      </c>
      <c r="C26" s="4" t="s">
        <v>12</v>
      </c>
      <c r="D26" s="5" t="s">
        <v>103</v>
      </c>
      <c r="E26" s="5" t="s">
        <v>104</v>
      </c>
      <c r="F26" s="6">
        <v>44931</v>
      </c>
    </row>
    <row r="27" spans="1:20" ht="32.25" thickBot="1" x14ac:dyDescent="0.3">
      <c r="A27" s="4" t="s">
        <v>105</v>
      </c>
      <c r="B27" s="4" t="s">
        <v>106</v>
      </c>
      <c r="C27" s="4" t="s">
        <v>8</v>
      </c>
      <c r="D27" s="5" t="s">
        <v>107</v>
      </c>
      <c r="E27" s="6">
        <v>34155</v>
      </c>
      <c r="F27" s="5" t="s">
        <v>108</v>
      </c>
    </row>
    <row r="28" spans="1:20" ht="32.25" thickBot="1" x14ac:dyDescent="0.3">
      <c r="A28" s="4" t="s">
        <v>109</v>
      </c>
      <c r="B28" s="4" t="s">
        <v>110</v>
      </c>
      <c r="C28" s="4" t="s">
        <v>17</v>
      </c>
      <c r="D28" s="6">
        <v>44420</v>
      </c>
      <c r="E28" s="5" t="s">
        <v>111</v>
      </c>
      <c r="F28" s="6">
        <v>45049</v>
      </c>
    </row>
    <row r="29" spans="1:20" ht="32.25" thickBot="1" x14ac:dyDescent="0.3">
      <c r="A29" s="4" t="s">
        <v>112</v>
      </c>
      <c r="B29" s="4" t="s">
        <v>113</v>
      </c>
      <c r="C29" s="4" t="s">
        <v>21</v>
      </c>
      <c r="D29" s="6">
        <v>43142</v>
      </c>
      <c r="E29" s="6">
        <v>32913</v>
      </c>
      <c r="F29" s="5" t="s">
        <v>114</v>
      </c>
    </row>
    <row r="30" spans="1:20" ht="32.25" thickBot="1" x14ac:dyDescent="0.3">
      <c r="A30" s="4" t="s">
        <v>115</v>
      </c>
      <c r="B30" s="4" t="s">
        <v>116</v>
      </c>
      <c r="C30" s="4" t="s">
        <v>12</v>
      </c>
      <c r="D30" s="5" t="s">
        <v>117</v>
      </c>
      <c r="E30" s="5" t="s">
        <v>118</v>
      </c>
      <c r="F30" s="6">
        <v>44447</v>
      </c>
    </row>
    <row r="31" spans="1:20" ht="32.25" thickBot="1" x14ac:dyDescent="0.3">
      <c r="A31" s="4" t="s">
        <v>119</v>
      </c>
      <c r="B31" s="4" t="s">
        <v>120</v>
      </c>
      <c r="C31" s="4" t="s">
        <v>8</v>
      </c>
      <c r="D31" s="6">
        <v>44540</v>
      </c>
      <c r="E31" s="5" t="s">
        <v>121</v>
      </c>
      <c r="F31" s="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MAHABOOB BASHA SHAIK</dc:creator>
  <cp:lastModifiedBy>MAHABOOB BASHA SHAIK</cp:lastModifiedBy>
  <dcterms:created xsi:type="dcterms:W3CDTF">2026-03-09T09:35:23Z</dcterms:created>
  <dcterms:modified xsi:type="dcterms:W3CDTF">2026-03-09T09:42:55Z</dcterms:modified>
</cp:coreProperties>
</file>