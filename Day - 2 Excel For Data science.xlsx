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dd5d17b7d50e8a/Documents/"/>
    </mc:Choice>
  </mc:AlternateContent>
  <xr:revisionPtr revIDLastSave="0" documentId="8_{01B125F7-2429-4168-A009-D36ED80F96CD}" xr6:coauthVersionLast="47" xr6:coauthVersionMax="47" xr10:uidLastSave="{00000000-0000-0000-0000-000000000000}"/>
  <bookViews>
    <workbookView xWindow="-108" yWindow="-108" windowWidth="23256" windowHeight="12456" xr2:uid="{FEC05E6E-FD2E-4BFE-A2CF-6050B194DECE}"/>
  </bookViews>
  <sheets>
    <sheet name="Sheet1" sheetId="1" r:id="rId1"/>
  </sheets>
  <definedNames>
    <definedName name="_xlnm._FilterDatabase" localSheetId="0" hidden="1">Sheet1!$A$1:$Z$21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14" i="1"/>
  <c r="J13" i="1"/>
  <c r="J12" i="1"/>
  <c r="J11" i="1"/>
  <c r="J10" i="1"/>
  <c r="J8" i="1"/>
  <c r="J7" i="1"/>
  <c r="J6" i="1"/>
  <c r="J5" i="1"/>
  <c r="J2" i="1"/>
</calcChain>
</file>

<file path=xl/sharedStrings.xml><?xml version="1.0" encoding="utf-8"?>
<sst xmlns="http://schemas.openxmlformats.org/spreadsheetml/2006/main" count="77" uniqueCount="57">
  <si>
    <t>ID</t>
  </si>
  <si>
    <t>Name</t>
  </si>
  <si>
    <t>Department</t>
  </si>
  <si>
    <t>Salary</t>
  </si>
  <si>
    <t>Bonus</t>
  </si>
  <si>
    <t>Age</t>
  </si>
  <si>
    <t>Joining Date</t>
  </si>
  <si>
    <t>John Smith</t>
  </si>
  <si>
    <t>Sales</t>
  </si>
  <si>
    <t>2/15/2020</t>
  </si>
  <si>
    <t>Emily Davis</t>
  </si>
  <si>
    <t>HR</t>
  </si>
  <si>
    <t>Michael Lee</t>
  </si>
  <si>
    <t>IT</t>
  </si>
  <si>
    <t>Sarah Kim</t>
  </si>
  <si>
    <t>Marketing</t>
  </si>
  <si>
    <t>David Chen</t>
  </si>
  <si>
    <t>11/23/2019</t>
  </si>
  <si>
    <t>Laura White</t>
  </si>
  <si>
    <t>5/17/2017</t>
  </si>
  <si>
    <t>Kevin Brown</t>
  </si>
  <si>
    <t>Anna Scott</t>
  </si>
  <si>
    <t>8/20/2020</t>
  </si>
  <si>
    <t>Ryan Hall</t>
  </si>
  <si>
    <t>3/14/2019</t>
  </si>
  <si>
    <t>Sophia King</t>
  </si>
  <si>
    <t>10/29/2016</t>
  </si>
  <si>
    <t>Paul Allen</t>
  </si>
  <si>
    <t>12/19/2018</t>
  </si>
  <si>
    <t>Mia Carter</t>
  </si>
  <si>
    <t>Jack Wilson</t>
  </si>
  <si>
    <t>1/30/2018</t>
  </si>
  <si>
    <t>Olivia Adams</t>
  </si>
  <si>
    <t>9/16/2015</t>
  </si>
  <si>
    <t>Ethan Clark</t>
  </si>
  <si>
    <t>Grace Lewis</t>
  </si>
  <si>
    <t>4/18/2020</t>
  </si>
  <si>
    <t>Henry Young</t>
  </si>
  <si>
    <t>Lily Moore</t>
  </si>
  <si>
    <t>6/27/2016</t>
  </si>
  <si>
    <t>Chris Evans</t>
  </si>
  <si>
    <t>Ava Turner</t>
  </si>
  <si>
    <t>9/14/2021</t>
  </si>
  <si>
    <t>Count</t>
  </si>
  <si>
    <t>Total</t>
  </si>
  <si>
    <t>Count IF</t>
  </si>
  <si>
    <t>&gt;35</t>
  </si>
  <si>
    <t>Highest  sal</t>
  </si>
  <si>
    <t>Max Bon in IT Dep</t>
  </si>
  <si>
    <t>Low sal In HR dep</t>
  </si>
  <si>
    <t>Min AGE</t>
  </si>
  <si>
    <t>Total Sal</t>
  </si>
  <si>
    <t>Total Bon In mark Dep</t>
  </si>
  <si>
    <t>Avg of all Emp</t>
  </si>
  <si>
    <t>Aveg Age of IT</t>
  </si>
  <si>
    <t>Median sal</t>
  </si>
  <si>
    <t xml:space="preserve">Medaian Bon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</si>
</sst>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579C-F9AC-47D7-BE91-ABCA2022AFD4}">
  <dimension ref="A1:Z21"/>
  <sheetViews>
    <sheetView tabSelected="1" workbookViewId="0">
      <selection activeCell="I20" sqref="I20"/>
    </sheetView>
  </sheetViews>
  <sheetFormatPr defaultRowHeight="14.4" x14ac:dyDescent="0.3"/>
  <cols>
    <col min="2" max="2" width="15.6640625" customWidth="1"/>
    <col min="3" max="3" width="14.44140625" customWidth="1"/>
    <col min="6" max="6" width="19.21875" customWidth="1"/>
    <col min="7" max="7" width="17.5546875" customWidth="1"/>
    <col min="9" max="9" width="18.21875" customWidth="1"/>
    <col min="10" max="10" width="21.77734375" customWidth="1"/>
  </cols>
  <sheetData>
    <row r="1" spans="1:2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6" t="s">
        <v>43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2" thickBot="1" x14ac:dyDescent="0.35">
      <c r="A2" s="3">
        <v>1</v>
      </c>
      <c r="B2" s="4" t="s">
        <v>7</v>
      </c>
      <c r="C2" s="4" t="s">
        <v>8</v>
      </c>
      <c r="D2" s="3">
        <v>45000</v>
      </c>
      <c r="E2" s="3">
        <v>2000</v>
      </c>
      <c r="F2" s="3">
        <v>29</v>
      </c>
      <c r="G2" s="3" t="s">
        <v>9</v>
      </c>
      <c r="H2" s="2"/>
      <c r="I2" s="2" t="s">
        <v>44</v>
      </c>
      <c r="J2" s="2">
        <f>COUNTA(B2:B21)</f>
        <v>20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2" thickBot="1" x14ac:dyDescent="0.35">
      <c r="A3" s="3">
        <v>2</v>
      </c>
      <c r="B3" s="4" t="s">
        <v>10</v>
      </c>
      <c r="C3" s="4" t="s">
        <v>11</v>
      </c>
      <c r="D3" s="3">
        <v>52000</v>
      </c>
      <c r="E3" s="3">
        <v>2500</v>
      </c>
      <c r="F3" s="3">
        <v>34</v>
      </c>
      <c r="G3" s="5">
        <v>43471</v>
      </c>
      <c r="H3" s="2"/>
      <c r="I3" s="2"/>
      <c r="J3" s="6" t="s">
        <v>45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2" thickBot="1" x14ac:dyDescent="0.35">
      <c r="A4" s="3">
        <v>3</v>
      </c>
      <c r="B4" s="4" t="s">
        <v>12</v>
      </c>
      <c r="C4" s="4" t="s">
        <v>13</v>
      </c>
      <c r="D4" s="3">
        <v>61000</v>
      </c>
      <c r="E4" s="3">
        <v>3000</v>
      </c>
      <c r="F4" s="3">
        <v>41</v>
      </c>
      <c r="G4" s="5">
        <v>43443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2" thickBot="1" x14ac:dyDescent="0.35">
      <c r="A5" s="3">
        <v>4</v>
      </c>
      <c r="B5" s="4" t="s">
        <v>14</v>
      </c>
      <c r="C5" s="4" t="s">
        <v>15</v>
      </c>
      <c r="D5" s="3">
        <v>48000</v>
      </c>
      <c r="E5" s="3">
        <v>1800</v>
      </c>
      <c r="F5" s="3">
        <v>26</v>
      </c>
      <c r="G5" s="5">
        <v>44409</v>
      </c>
      <c r="H5" s="2"/>
      <c r="I5" s="7" t="s">
        <v>8</v>
      </c>
      <c r="J5" s="2">
        <f>COUNTIF(C2:C21,"Sales")</f>
        <v>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2" thickBot="1" x14ac:dyDescent="0.35">
      <c r="A6" s="3">
        <v>5</v>
      </c>
      <c r="B6" s="4" t="s">
        <v>16</v>
      </c>
      <c r="C6" s="4" t="s">
        <v>8</v>
      </c>
      <c r="D6" s="3">
        <v>47000</v>
      </c>
      <c r="E6" s="3">
        <v>2100</v>
      </c>
      <c r="F6" s="3">
        <v>31</v>
      </c>
      <c r="G6" s="3" t="s">
        <v>17</v>
      </c>
      <c r="H6" s="2"/>
      <c r="I6" s="8" t="s">
        <v>11</v>
      </c>
      <c r="J6" s="2">
        <f>COUNTIF(C2:C21,"HR")</f>
        <v>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2" thickBot="1" x14ac:dyDescent="0.35">
      <c r="A7" s="3">
        <v>6</v>
      </c>
      <c r="B7" s="4" t="s">
        <v>18</v>
      </c>
      <c r="C7" s="4" t="s">
        <v>11</v>
      </c>
      <c r="D7" s="3">
        <v>53000</v>
      </c>
      <c r="E7" s="3">
        <v>2700</v>
      </c>
      <c r="F7" s="3">
        <v>38</v>
      </c>
      <c r="G7" s="3" t="s">
        <v>19</v>
      </c>
      <c r="H7" s="2"/>
      <c r="I7" s="9" t="s">
        <v>15</v>
      </c>
      <c r="J7" s="2">
        <f>COUNTIF(C2:C21,"Marketing")</f>
        <v>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2" thickBot="1" x14ac:dyDescent="0.35">
      <c r="A8" s="3">
        <v>7</v>
      </c>
      <c r="B8" s="4" t="s">
        <v>20</v>
      </c>
      <c r="C8" s="4" t="s">
        <v>13</v>
      </c>
      <c r="D8" s="3">
        <v>65000</v>
      </c>
      <c r="E8" s="3">
        <v>3500</v>
      </c>
      <c r="F8" s="3">
        <v>44</v>
      </c>
      <c r="G8" s="5">
        <v>42254</v>
      </c>
      <c r="H8" s="2"/>
      <c r="I8" s="10" t="s">
        <v>13</v>
      </c>
      <c r="J8" s="2">
        <f>COUNTIF(C2:C21,"IT")</f>
        <v>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2" thickBot="1" x14ac:dyDescent="0.35">
      <c r="A9" s="3">
        <v>8</v>
      </c>
      <c r="B9" s="4" t="s">
        <v>21</v>
      </c>
      <c r="C9" s="4" t="s">
        <v>15</v>
      </c>
      <c r="D9" s="3">
        <v>50000</v>
      </c>
      <c r="E9" s="3">
        <v>1900</v>
      </c>
      <c r="F9" s="3">
        <v>28</v>
      </c>
      <c r="G9" s="3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2" thickBot="1" x14ac:dyDescent="0.35">
      <c r="A10" s="3">
        <v>9</v>
      </c>
      <c r="B10" s="4" t="s">
        <v>23</v>
      </c>
      <c r="C10" s="4" t="s">
        <v>8</v>
      </c>
      <c r="D10" s="3">
        <v>46000</v>
      </c>
      <c r="E10" s="3">
        <v>2050</v>
      </c>
      <c r="F10" s="3">
        <v>33</v>
      </c>
      <c r="G10" s="3" t="s">
        <v>24</v>
      </c>
      <c r="H10" s="2"/>
      <c r="I10" s="11" t="s">
        <v>46</v>
      </c>
      <c r="J10" s="2">
        <f>COUNTIF(F2:F21,"&gt;35")</f>
        <v>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2" thickBot="1" x14ac:dyDescent="0.35">
      <c r="A11" s="3">
        <v>10</v>
      </c>
      <c r="B11" s="4" t="s">
        <v>25</v>
      </c>
      <c r="C11" s="4" t="s">
        <v>11</v>
      </c>
      <c r="D11" s="3">
        <v>54000</v>
      </c>
      <c r="E11" s="3">
        <v>2600</v>
      </c>
      <c r="F11" s="3">
        <v>36</v>
      </c>
      <c r="G11" s="3" t="s">
        <v>26</v>
      </c>
      <c r="H11" s="2"/>
      <c r="I11" s="11" t="s">
        <v>47</v>
      </c>
      <c r="J11" s="2">
        <f>MAX(D2:D21)</f>
        <v>65000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2" thickBot="1" x14ac:dyDescent="0.35">
      <c r="A12" s="3">
        <v>11</v>
      </c>
      <c r="B12" s="4" t="s">
        <v>27</v>
      </c>
      <c r="C12" s="4" t="s">
        <v>13</v>
      </c>
      <c r="D12" s="3">
        <v>62000</v>
      </c>
      <c r="E12" s="3">
        <v>3100</v>
      </c>
      <c r="F12" s="3">
        <v>42</v>
      </c>
      <c r="G12" s="3" t="s">
        <v>28</v>
      </c>
      <c r="H12" s="2"/>
      <c r="I12" s="11" t="s">
        <v>48</v>
      </c>
      <c r="J12" s="2">
        <f>MAXA(C2:C21,E2:E21)</f>
        <v>3500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2" thickBot="1" x14ac:dyDescent="0.35">
      <c r="A13" s="3">
        <v>12</v>
      </c>
      <c r="B13" s="4" t="s">
        <v>29</v>
      </c>
      <c r="C13" s="4" t="s">
        <v>15</v>
      </c>
      <c r="D13" s="3">
        <v>51000</v>
      </c>
      <c r="E13" s="3">
        <v>2000</v>
      </c>
      <c r="F13" s="3">
        <v>27</v>
      </c>
      <c r="G13" s="5">
        <v>44322</v>
      </c>
      <c r="H13" s="2"/>
      <c r="I13" s="11" t="s">
        <v>49</v>
      </c>
      <c r="J13" s="2">
        <f>_xlfn.MINIFS(D2:D21, C2:C21, "HR")</f>
        <v>52000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2" thickBot="1" x14ac:dyDescent="0.35">
      <c r="A14" s="3">
        <v>13</v>
      </c>
      <c r="B14" s="4" t="s">
        <v>30</v>
      </c>
      <c r="C14" s="4" t="s">
        <v>8</v>
      </c>
      <c r="D14" s="3">
        <v>48000</v>
      </c>
      <c r="E14" s="3">
        <v>2200</v>
      </c>
      <c r="F14" s="3">
        <v>30</v>
      </c>
      <c r="G14" s="3" t="s">
        <v>31</v>
      </c>
      <c r="H14" s="2"/>
      <c r="I14" s="11" t="s">
        <v>50</v>
      </c>
      <c r="J14" s="2">
        <f>MINA(F2:F21)</f>
        <v>26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2" thickBot="1" x14ac:dyDescent="0.35">
      <c r="A15" s="3">
        <v>14</v>
      </c>
      <c r="B15" s="4" t="s">
        <v>32</v>
      </c>
      <c r="C15" s="4" t="s">
        <v>11</v>
      </c>
      <c r="D15" s="3">
        <v>55000</v>
      </c>
      <c r="E15" s="3">
        <v>2800</v>
      </c>
      <c r="F15" s="3">
        <v>39</v>
      </c>
      <c r="G15" s="3" t="s">
        <v>33</v>
      </c>
      <c r="H15" s="2"/>
      <c r="I15" s="11" t="s">
        <v>51</v>
      </c>
      <c r="J15" s="2">
        <f>SUM(D2:D21)</f>
        <v>1068500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2" thickBot="1" x14ac:dyDescent="0.35">
      <c r="A16" s="3">
        <v>15</v>
      </c>
      <c r="B16" s="4" t="s">
        <v>34</v>
      </c>
      <c r="C16" s="4" t="s">
        <v>13</v>
      </c>
      <c r="D16" s="3">
        <v>64000</v>
      </c>
      <c r="E16" s="3">
        <v>3300</v>
      </c>
      <c r="F16" s="3">
        <v>45</v>
      </c>
      <c r="G16" s="5">
        <v>41709</v>
      </c>
      <c r="H16" s="2"/>
      <c r="I16" s="11" t="s">
        <v>52</v>
      </c>
      <c r="J16" s="2">
        <f>SUMIF(C2:C21,"Marketing",E2:E21)</f>
        <v>9750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2" thickBot="1" x14ac:dyDescent="0.35">
      <c r="A17" s="3">
        <v>16</v>
      </c>
      <c r="B17" s="4" t="s">
        <v>35</v>
      </c>
      <c r="C17" s="4" t="s">
        <v>15</v>
      </c>
      <c r="D17" s="3">
        <v>52000</v>
      </c>
      <c r="E17" s="3">
        <v>2100</v>
      </c>
      <c r="F17" s="3">
        <v>29</v>
      </c>
      <c r="G17" s="3" t="s">
        <v>36</v>
      </c>
      <c r="H17" s="2"/>
      <c r="I17" s="11" t="s">
        <v>53</v>
      </c>
      <c r="J17" s="2">
        <f>AVERAGE(D2:D21)</f>
        <v>53425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2" thickBot="1" x14ac:dyDescent="0.35">
      <c r="A18" s="3">
        <v>17</v>
      </c>
      <c r="B18" s="4" t="s">
        <v>37</v>
      </c>
      <c r="C18" s="4" t="s">
        <v>8</v>
      </c>
      <c r="D18" s="3">
        <v>47000</v>
      </c>
      <c r="E18" s="3">
        <v>2000</v>
      </c>
      <c r="F18" s="3">
        <v>32</v>
      </c>
      <c r="G18" s="5">
        <v>43477</v>
      </c>
      <c r="H18" s="2"/>
      <c r="I18" s="11" t="s">
        <v>54</v>
      </c>
      <c r="J18">
        <f>AVERAGEIF(C2:C21,"IT",F2:F21)</f>
        <v>43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2" thickBot="1" x14ac:dyDescent="0.35">
      <c r="A19" s="3">
        <v>18</v>
      </c>
      <c r="B19" s="4" t="s">
        <v>38</v>
      </c>
      <c r="C19" s="4" t="s">
        <v>11</v>
      </c>
      <c r="D19" s="3">
        <v>56000</v>
      </c>
      <c r="E19" s="3">
        <v>2500</v>
      </c>
      <c r="F19" s="3">
        <v>35</v>
      </c>
      <c r="G19" s="3" t="s">
        <v>39</v>
      </c>
      <c r="H19" s="2"/>
      <c r="I19" s="11" t="s">
        <v>55</v>
      </c>
      <c r="J19" s="2">
        <f>MEDIAN(D2:D21)</f>
        <v>52000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2" thickBot="1" x14ac:dyDescent="0.35">
      <c r="A20" s="3">
        <v>19</v>
      </c>
      <c r="B20" s="4" t="s">
        <v>40</v>
      </c>
      <c r="C20" s="4" t="s">
        <v>13</v>
      </c>
      <c r="D20" s="3">
        <v>63000</v>
      </c>
      <c r="E20" s="3">
        <v>3400</v>
      </c>
      <c r="F20" s="3">
        <v>43</v>
      </c>
      <c r="G20" s="5">
        <v>42949</v>
      </c>
      <c r="H20" s="2"/>
      <c r="I20" s="11" t="s">
        <v>56</v>
      </c>
      <c r="J20" s="2">
        <f>MEDIAN(E2:E21)</f>
        <v>2350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2" thickBot="1" x14ac:dyDescent="0.35">
      <c r="A21" s="3">
        <v>20</v>
      </c>
      <c r="B21" s="4" t="s">
        <v>41</v>
      </c>
      <c r="C21" s="4" t="s">
        <v>15</v>
      </c>
      <c r="D21" s="3">
        <v>49500</v>
      </c>
      <c r="E21" s="3">
        <v>1950</v>
      </c>
      <c r="F21" s="3">
        <v>28</v>
      </c>
      <c r="G21" s="3" t="s">
        <v>42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MAHABOOB BASHA SHAIK</dc:creator>
  <cp:lastModifiedBy>MAHABOOB BASHA SHAIK</cp:lastModifiedBy>
  <dcterms:created xsi:type="dcterms:W3CDTF">2026-03-02T10:08:46Z</dcterms:created>
  <dcterms:modified xsi:type="dcterms:W3CDTF">2026-03-02T11:04:32Z</dcterms:modified>
</cp:coreProperties>
</file>