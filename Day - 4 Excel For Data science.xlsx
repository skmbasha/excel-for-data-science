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dd5d17b7d50e8a/Documents/"/>
    </mc:Choice>
  </mc:AlternateContent>
  <xr:revisionPtr revIDLastSave="0" documentId="8_{6181B869-18D9-4ECF-91EA-C87E88842F86}" xr6:coauthVersionLast="47" xr6:coauthVersionMax="47" xr10:uidLastSave="{00000000-0000-0000-0000-000000000000}"/>
  <bookViews>
    <workbookView xWindow="-108" yWindow="-108" windowWidth="23256" windowHeight="12456" xr2:uid="{C47EA310-0AC1-4625-B826-EB9658290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1" l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<sst xmlns="http://schemas.openxmlformats.org/spreadsheetml/2006/main" count="136" uniqueCount="58">
  <si>
    <t>1. Total Total Sales for the region "East".</t>
  </si>
  <si>
    <t>2. Total Total Sales for salesperson "Alice".</t>
  </si>
  <si>
    <t>3. Count of orders for product "Laptop".</t>
  </si>
  <si>
    <t>4. Count of orders from the "North" region where the product is "Mouse".</t>
  </si>
  <si>
    <t>5. Average Total Sales for product "Monitor".</t>
  </si>
  <si>
    <t>6. Average Total Sales for "Charlie" in the "West" region.</t>
  </si>
  <si>
    <t>7. Total units sold for "Keyboard" in "South" region.</t>
  </si>
  <si>
    <t>8. Total Total Sales for orders placed after 2024-01-20.</t>
  </si>
  <si>
    <t>9. Count of orders where Units &gt; 10.</t>
  </si>
  <si>
    <t>10. Count of "Laptop" sales where Unit Price &gt; 580.</t>
  </si>
  <si>
    <t>11. Average units sold for "Bob".</t>
  </si>
  <si>
    <t>12. Average units sold for "Bob" in the "East" region.</t>
  </si>
  <si>
    <t>13. Total Total Sales for "Monitor" where Units &gt; 8.</t>
  </si>
  <si>
    <t>14. Total Total Sales for "Laptop" in "East" region where Units &gt; 5.</t>
  </si>
  <si>
    <t>15. Count of orders where Unit Price &lt; 50.</t>
  </si>
  <si>
    <t>16. Count of "Mouse" orders in "South" region where Units &gt;= 12.</t>
  </si>
  <si>
    <t>17. Average Total Sales for "Laptop" in all regions.</t>
  </si>
  <si>
    <t>18. Average Total Sales for "Laptop" in "East" region.</t>
  </si>
  <si>
    <t>19. Total Units sold by "Diana" in "North" region where product is "Keyboard".</t>
  </si>
  <si>
    <t>20. Count of all orders placed in "January 2024".</t>
  </si>
  <si>
    <t>OrderID</t>
  </si>
  <si>
    <t>Region</t>
  </si>
  <si>
    <t>Salesperson</t>
  </si>
  <si>
    <t>Product</t>
  </si>
  <si>
    <t>Units</t>
  </si>
  <si>
    <t>Unit Price</t>
  </si>
  <si>
    <t>Total Sales</t>
  </si>
  <si>
    <t>Order Date</t>
  </si>
  <si>
    <t>East</t>
  </si>
  <si>
    <t>Alice</t>
  </si>
  <si>
    <t>Laptop</t>
  </si>
  <si>
    <t>West</t>
  </si>
  <si>
    <t>Bob</t>
  </si>
  <si>
    <t>Monitor</t>
  </si>
  <si>
    <t>Charlie</t>
  </si>
  <si>
    <t>Mouse</t>
  </si>
  <si>
    <t>North</t>
  </si>
  <si>
    <t>Diana</t>
  </si>
  <si>
    <t>South</t>
  </si>
  <si>
    <t>Keyboard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</si>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</sst>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E7A7-1E4B-43A4-9E94-CF404C587A09}">
  <dimension ref="A1:J31"/>
  <sheetViews>
    <sheetView tabSelected="1" workbookViewId="0">
      <selection activeCell="K6" sqref="K6"/>
    </sheetView>
  </sheetViews>
  <sheetFormatPr defaultRowHeight="14.4" x14ac:dyDescent="0.3"/>
  <cols>
    <col min="7" max="7" width="17.21875" customWidth="1"/>
    <col min="8" max="8" width="10.33203125" bestFit="1" customWidth="1"/>
    <col min="9" max="9" width="65.6640625" customWidth="1"/>
    <col min="11" max="11" width="8.5546875" customWidth="1"/>
  </cols>
  <sheetData>
    <row r="1" spans="1:10" ht="15" thickBot="1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3"/>
    </row>
    <row r="2" spans="1:10" ht="15" thickBot="1" x14ac:dyDescent="0.35">
      <c r="A2" s="4">
        <v>101</v>
      </c>
      <c r="B2" s="5" t="s">
        <v>28</v>
      </c>
      <c r="C2" s="5" t="s">
        <v>29</v>
      </c>
      <c r="D2" s="5" t="s">
        <v>30</v>
      </c>
      <c r="E2" s="4">
        <v>5</v>
      </c>
      <c r="F2" s="4">
        <v>550</v>
      </c>
      <c r="G2" s="4">
        <v>2750</v>
      </c>
      <c r="H2" s="1">
        <v>45413</v>
      </c>
      <c r="I2" s="3"/>
    </row>
    <row r="3" spans="1:10" ht="15" thickBot="1" x14ac:dyDescent="0.35">
      <c r="A3" s="4">
        <v>102</v>
      </c>
      <c r="B3" s="5" t="s">
        <v>31</v>
      </c>
      <c r="C3" s="5" t="s">
        <v>32</v>
      </c>
      <c r="D3" s="5" t="s">
        <v>33</v>
      </c>
      <c r="E3" s="4">
        <v>8</v>
      </c>
      <c r="F3" s="4">
        <v>150</v>
      </c>
      <c r="G3" s="4">
        <v>1200</v>
      </c>
      <c r="H3" s="1">
        <v>45444</v>
      </c>
      <c r="I3" s="8"/>
    </row>
    <row r="4" spans="1:10" ht="15" thickBot="1" x14ac:dyDescent="0.35">
      <c r="A4" s="4">
        <v>103</v>
      </c>
      <c r="B4" s="5" t="s">
        <v>28</v>
      </c>
      <c r="C4" s="5" t="s">
        <v>34</v>
      </c>
      <c r="D4" s="5" t="s">
        <v>35</v>
      </c>
      <c r="E4" s="4">
        <v>15</v>
      </c>
      <c r="F4" s="4">
        <v>25</v>
      </c>
      <c r="G4" s="4">
        <v>375</v>
      </c>
      <c r="H4" s="1">
        <v>45474</v>
      </c>
      <c r="I4" s="6" t="s">
        <v>0</v>
      </c>
      <c r="J4" s="7">
        <f>SUMIF(B2:B31,"East",G2:G31)</f>
        <v>15939</v>
      </c>
    </row>
    <row r="5" spans="1:10" ht="15" thickBot="1" x14ac:dyDescent="0.35">
      <c r="A5" s="4">
        <v>104</v>
      </c>
      <c r="B5" s="5" t="s">
        <v>36</v>
      </c>
      <c r="C5" s="5" t="s">
        <v>37</v>
      </c>
      <c r="D5" s="5" t="s">
        <v>30</v>
      </c>
      <c r="E5" s="4">
        <v>3</v>
      </c>
      <c r="F5" s="4">
        <v>600</v>
      </c>
      <c r="G5" s="4">
        <v>1800</v>
      </c>
      <c r="H5" s="1">
        <v>45536</v>
      </c>
      <c r="I5" s="6" t="s">
        <v>1</v>
      </c>
      <c r="J5" s="7">
        <f>SUMIF(C2:C31,"Alice",G2:G31)</f>
        <v>8847</v>
      </c>
    </row>
    <row r="6" spans="1:10" ht="15" thickBot="1" x14ac:dyDescent="0.35">
      <c r="A6" s="4">
        <v>105</v>
      </c>
      <c r="B6" s="5" t="s">
        <v>38</v>
      </c>
      <c r="C6" s="5" t="s">
        <v>29</v>
      </c>
      <c r="D6" s="5" t="s">
        <v>39</v>
      </c>
      <c r="E6" s="4">
        <v>10</v>
      </c>
      <c r="F6" s="4">
        <v>40</v>
      </c>
      <c r="G6" s="4">
        <v>400</v>
      </c>
      <c r="H6" s="1">
        <v>45566</v>
      </c>
      <c r="I6" s="6" t="s">
        <v>2</v>
      </c>
      <c r="J6" s="7">
        <f>COUNTIF(D2:D31,"Laptop")</f>
        <v>10</v>
      </c>
    </row>
    <row r="7" spans="1:10" ht="15" thickBot="1" x14ac:dyDescent="0.35">
      <c r="A7" s="4">
        <v>106</v>
      </c>
      <c r="B7" s="5" t="s">
        <v>28</v>
      </c>
      <c r="C7" s="5" t="s">
        <v>32</v>
      </c>
      <c r="D7" s="5" t="s">
        <v>30</v>
      </c>
      <c r="E7" s="4">
        <v>4</v>
      </c>
      <c r="F7" s="4">
        <v>580</v>
      </c>
      <c r="G7" s="4">
        <v>2320</v>
      </c>
      <c r="H7" s="1">
        <v>45627</v>
      </c>
      <c r="I7" s="6" t="s">
        <v>3</v>
      </c>
      <c r="J7" s="7">
        <f>COUNTIFS(B2:B31,"North",D2:D31,"Mouse")</f>
        <v>2</v>
      </c>
    </row>
    <row r="8" spans="1:10" ht="15" thickBot="1" x14ac:dyDescent="0.35">
      <c r="A8" s="4">
        <v>107</v>
      </c>
      <c r="B8" s="5" t="s">
        <v>31</v>
      </c>
      <c r="C8" s="5" t="s">
        <v>34</v>
      </c>
      <c r="D8" s="5" t="s">
        <v>33</v>
      </c>
      <c r="E8" s="4">
        <v>6</v>
      </c>
      <c r="F8" s="4">
        <v>145</v>
      </c>
      <c r="G8" s="4">
        <v>870</v>
      </c>
      <c r="H8" s="4" t="s">
        <v>40</v>
      </c>
      <c r="I8" s="6" t="s">
        <v>4</v>
      </c>
      <c r="J8" s="7">
        <f>AVERAGEIF(D2:D31,"Monitor",G2:G31)</f>
        <v>1277.1666666666667</v>
      </c>
    </row>
    <row r="9" spans="1:10" ht="15" thickBot="1" x14ac:dyDescent="0.35">
      <c r="A9" s="4">
        <v>108</v>
      </c>
      <c r="B9" s="5" t="s">
        <v>36</v>
      </c>
      <c r="C9" s="5" t="s">
        <v>37</v>
      </c>
      <c r="D9" s="5" t="s">
        <v>35</v>
      </c>
      <c r="E9" s="4">
        <v>12</v>
      </c>
      <c r="F9" s="4">
        <v>30</v>
      </c>
      <c r="G9" s="4">
        <v>360</v>
      </c>
      <c r="H9" s="4" t="s">
        <v>41</v>
      </c>
      <c r="I9" s="6" t="s">
        <v>5</v>
      </c>
      <c r="J9" s="7">
        <f>AVERAGEIFS(G2:G31,C2:C31,"Charlie",B2:B31,"West")</f>
        <v>797.33333333333337</v>
      </c>
    </row>
    <row r="10" spans="1:10" ht="15" thickBot="1" x14ac:dyDescent="0.35">
      <c r="A10" s="4">
        <v>109</v>
      </c>
      <c r="B10" s="5" t="s">
        <v>38</v>
      </c>
      <c r="C10" s="5" t="s">
        <v>29</v>
      </c>
      <c r="D10" s="5" t="s">
        <v>33</v>
      </c>
      <c r="E10" s="4">
        <v>9</v>
      </c>
      <c r="F10" s="4">
        <v>155</v>
      </c>
      <c r="G10" s="4">
        <v>1395</v>
      </c>
      <c r="H10" s="4" t="s">
        <v>42</v>
      </c>
      <c r="I10" s="6" t="s">
        <v>6</v>
      </c>
      <c r="J10" s="7">
        <f>SUMIFS(E2:E31,D2:D31,"Keyboard",B2:B31,"South")</f>
        <v>19</v>
      </c>
    </row>
    <row r="11" spans="1:10" ht="15" thickBot="1" x14ac:dyDescent="0.35">
      <c r="A11" s="4">
        <v>110</v>
      </c>
      <c r="B11" s="5" t="s">
        <v>28</v>
      </c>
      <c r="C11" s="5" t="s">
        <v>32</v>
      </c>
      <c r="D11" s="5" t="s">
        <v>39</v>
      </c>
      <c r="E11" s="4">
        <v>7</v>
      </c>
      <c r="F11" s="4">
        <v>42</v>
      </c>
      <c r="G11" s="4">
        <v>294</v>
      </c>
      <c r="H11" s="4" t="s">
        <v>43</v>
      </c>
      <c r="I11" s="6" t="s">
        <v>7</v>
      </c>
      <c r="J11" s="7">
        <f>SUMIFS(G2:G31,H2:H31,"&gt;"&amp;DATE(2024,1,20))</f>
        <v>18251</v>
      </c>
    </row>
    <row r="12" spans="1:10" ht="15" thickBot="1" x14ac:dyDescent="0.35">
      <c r="A12" s="4">
        <v>111</v>
      </c>
      <c r="B12" s="5" t="s">
        <v>31</v>
      </c>
      <c r="C12" s="5" t="s">
        <v>34</v>
      </c>
      <c r="D12" s="5" t="s">
        <v>30</v>
      </c>
      <c r="E12" s="4">
        <v>2</v>
      </c>
      <c r="F12" s="4">
        <v>600</v>
      </c>
      <c r="G12" s="4">
        <v>1200</v>
      </c>
      <c r="H12" s="4" t="s">
        <v>44</v>
      </c>
      <c r="I12" s="6" t="s">
        <v>8</v>
      </c>
      <c r="J12" s="7">
        <f>COUNTIF(E2:E31,"&gt;10")</f>
        <v>8</v>
      </c>
    </row>
    <row r="13" spans="1:10" ht="15" thickBot="1" x14ac:dyDescent="0.35">
      <c r="A13" s="4">
        <v>112</v>
      </c>
      <c r="B13" s="5" t="s">
        <v>36</v>
      </c>
      <c r="C13" s="5" t="s">
        <v>37</v>
      </c>
      <c r="D13" s="5" t="s">
        <v>39</v>
      </c>
      <c r="E13" s="4">
        <v>11</v>
      </c>
      <c r="F13" s="4">
        <v>39</v>
      </c>
      <c r="G13" s="4">
        <v>429</v>
      </c>
      <c r="H13" s="4" t="s">
        <v>45</v>
      </c>
      <c r="I13" s="6" t="s">
        <v>9</v>
      </c>
      <c r="J13" s="7">
        <f>COUNTIFS(D2:D31,"Laptop",F2:F31,"&gt;580")</f>
        <v>7</v>
      </c>
    </row>
    <row r="14" spans="1:10" ht="15" thickBot="1" x14ac:dyDescent="0.35">
      <c r="A14" s="4">
        <v>113</v>
      </c>
      <c r="B14" s="5" t="s">
        <v>38</v>
      </c>
      <c r="C14" s="5" t="s">
        <v>29</v>
      </c>
      <c r="D14" s="5" t="s">
        <v>30</v>
      </c>
      <c r="E14" s="4">
        <v>3</v>
      </c>
      <c r="F14" s="4">
        <v>560</v>
      </c>
      <c r="G14" s="4">
        <v>1680</v>
      </c>
      <c r="H14" s="4" t="s">
        <v>46</v>
      </c>
      <c r="I14" s="6" t="s">
        <v>10</v>
      </c>
      <c r="J14" s="7">
        <f>AVERAGEIF(C2:C31,"Bob",E2:E31)</f>
        <v>8.625</v>
      </c>
    </row>
    <row r="15" spans="1:10" ht="15" thickBot="1" x14ac:dyDescent="0.35">
      <c r="A15" s="4">
        <v>114</v>
      </c>
      <c r="B15" s="5" t="s">
        <v>28</v>
      </c>
      <c r="C15" s="5" t="s">
        <v>32</v>
      </c>
      <c r="D15" s="5" t="s">
        <v>35</v>
      </c>
      <c r="E15" s="4">
        <v>18</v>
      </c>
      <c r="F15" s="4">
        <v>28</v>
      </c>
      <c r="G15" s="4">
        <v>504</v>
      </c>
      <c r="H15" s="4" t="s">
        <v>47</v>
      </c>
      <c r="I15" s="6" t="s">
        <v>11</v>
      </c>
      <c r="J15" s="7">
        <f>AVERAGEIFS(E2:E31,C2:C31,"Bob",B2:B31,"East")</f>
        <v>8.7142857142857135</v>
      </c>
    </row>
    <row r="16" spans="1:10" ht="15" thickBot="1" x14ac:dyDescent="0.35">
      <c r="A16" s="4">
        <v>115</v>
      </c>
      <c r="B16" s="5" t="s">
        <v>31</v>
      </c>
      <c r="C16" s="5" t="s">
        <v>34</v>
      </c>
      <c r="D16" s="5" t="s">
        <v>39</v>
      </c>
      <c r="E16" s="4">
        <v>5</v>
      </c>
      <c r="F16" s="4">
        <v>40</v>
      </c>
      <c r="G16" s="4">
        <v>200</v>
      </c>
      <c r="H16" s="4" t="s">
        <v>48</v>
      </c>
      <c r="I16" s="6" t="s">
        <v>12</v>
      </c>
      <c r="J16" s="7">
        <f>SUMIFS(G2:G31,D2:D31,"Monitor",E2:E31,"&gt;8")</f>
        <v>4543</v>
      </c>
    </row>
    <row r="17" spans="1:10" ht="15" thickBot="1" x14ac:dyDescent="0.35">
      <c r="A17" s="4">
        <v>116</v>
      </c>
      <c r="B17" s="5" t="s">
        <v>36</v>
      </c>
      <c r="C17" s="5" t="s">
        <v>37</v>
      </c>
      <c r="D17" s="5" t="s">
        <v>33</v>
      </c>
      <c r="E17" s="4">
        <v>7</v>
      </c>
      <c r="F17" s="4">
        <v>150</v>
      </c>
      <c r="G17" s="4">
        <v>1050</v>
      </c>
      <c r="H17" s="4" t="s">
        <v>49</v>
      </c>
      <c r="I17" s="6" t="s">
        <v>13</v>
      </c>
      <c r="J17" s="7">
        <f>SUMIFS(G2:G31,D2:D31,"Laptop",B2:B31,"East",E2:E31,"&gt;5")</f>
        <v>7740</v>
      </c>
    </row>
    <row r="18" spans="1:10" ht="15" thickBot="1" x14ac:dyDescent="0.35">
      <c r="A18" s="4">
        <v>117</v>
      </c>
      <c r="B18" s="5" t="s">
        <v>38</v>
      </c>
      <c r="C18" s="5" t="s">
        <v>29</v>
      </c>
      <c r="D18" s="5" t="s">
        <v>35</v>
      </c>
      <c r="E18" s="4">
        <v>14</v>
      </c>
      <c r="F18" s="4">
        <v>26</v>
      </c>
      <c r="G18" s="4">
        <v>364</v>
      </c>
      <c r="H18" s="4" t="s">
        <v>50</v>
      </c>
      <c r="I18" s="6" t="s">
        <v>14</v>
      </c>
      <c r="J18" s="7">
        <f>COUNTIF(F2:F31,"&lt;50")</f>
        <v>14</v>
      </c>
    </row>
    <row r="19" spans="1:10" ht="15" thickBot="1" x14ac:dyDescent="0.35">
      <c r="A19" s="4">
        <v>118</v>
      </c>
      <c r="B19" s="5" t="s">
        <v>28</v>
      </c>
      <c r="C19" s="5" t="s">
        <v>32</v>
      </c>
      <c r="D19" s="5" t="s">
        <v>30</v>
      </c>
      <c r="E19" s="4">
        <v>6</v>
      </c>
      <c r="F19" s="4">
        <v>590</v>
      </c>
      <c r="G19" s="4">
        <v>3540</v>
      </c>
      <c r="H19" s="4" t="s">
        <v>51</v>
      </c>
      <c r="I19" s="6" t="s">
        <v>15</v>
      </c>
      <c r="J19" s="7">
        <f>COUNTIFS(D2:D31,"Mouse",B2:B31,"South",E2:E31,"&gt;=12")</f>
        <v>2</v>
      </c>
    </row>
    <row r="20" spans="1:10" ht="15" thickBot="1" x14ac:dyDescent="0.35">
      <c r="A20" s="4">
        <v>119</v>
      </c>
      <c r="B20" s="5" t="s">
        <v>31</v>
      </c>
      <c r="C20" s="5" t="s">
        <v>34</v>
      </c>
      <c r="D20" s="5" t="s">
        <v>35</v>
      </c>
      <c r="E20" s="4">
        <v>16</v>
      </c>
      <c r="F20" s="4">
        <v>27</v>
      </c>
      <c r="G20" s="4">
        <v>432</v>
      </c>
      <c r="H20" s="4" t="s">
        <v>52</v>
      </c>
      <c r="I20" s="6" t="s">
        <v>16</v>
      </c>
      <c r="J20" s="7">
        <f>AVERAGEIF(D2:D31,"Laptop",G2:G31)</f>
        <v>2471.5</v>
      </c>
    </row>
    <row r="21" spans="1:10" ht="15" thickBot="1" x14ac:dyDescent="0.35">
      <c r="A21" s="4">
        <v>120</v>
      </c>
      <c r="B21" s="5" t="s">
        <v>36</v>
      </c>
      <c r="C21" s="5" t="s">
        <v>37</v>
      </c>
      <c r="D21" s="5" t="s">
        <v>30</v>
      </c>
      <c r="E21" s="4">
        <v>4</v>
      </c>
      <c r="F21" s="4">
        <v>605</v>
      </c>
      <c r="G21" s="4">
        <v>2420</v>
      </c>
      <c r="H21" s="4" t="s">
        <v>53</v>
      </c>
      <c r="I21" s="6" t="s">
        <v>17</v>
      </c>
      <c r="J21" s="7">
        <f>AVERAGEIFS(G2:G31,D2:D31,"Laptop",B2:B31,"East")</f>
        <v>3202.5</v>
      </c>
    </row>
    <row r="22" spans="1:10" ht="15" thickBot="1" x14ac:dyDescent="0.35">
      <c r="A22" s="4">
        <v>121</v>
      </c>
      <c r="B22" s="5" t="s">
        <v>38</v>
      </c>
      <c r="C22" s="5" t="s">
        <v>29</v>
      </c>
      <c r="D22" s="5" t="s">
        <v>33</v>
      </c>
      <c r="E22" s="4">
        <v>10</v>
      </c>
      <c r="F22" s="4">
        <v>152</v>
      </c>
      <c r="G22" s="4">
        <v>1520</v>
      </c>
      <c r="H22" s="4" t="s">
        <v>54</v>
      </c>
      <c r="I22" s="6" t="s">
        <v>18</v>
      </c>
      <c r="J22" s="7">
        <f>SUMIFS(E2:E31,C2:C31,"Diana",B2:B31,"North",D2:D31,"Keyboard")</f>
        <v>11</v>
      </c>
    </row>
    <row r="23" spans="1:10" ht="15" thickBot="1" x14ac:dyDescent="0.35">
      <c r="A23" s="4">
        <v>122</v>
      </c>
      <c r="B23" s="5" t="s">
        <v>28</v>
      </c>
      <c r="C23" s="5" t="s">
        <v>32</v>
      </c>
      <c r="D23" s="5" t="s">
        <v>39</v>
      </c>
      <c r="E23" s="4">
        <v>8</v>
      </c>
      <c r="F23" s="4">
        <v>41</v>
      </c>
      <c r="G23" s="4">
        <v>328</v>
      </c>
      <c r="H23" s="4" t="s">
        <v>55</v>
      </c>
      <c r="I23" s="6" t="s">
        <v>19</v>
      </c>
      <c r="J23" s="7">
        <f>COUNTIFS(H2:H31,"&gt;="&amp;DATE(2024,1,1),H2:H31,"&lt;"&amp;DATE(2024,2,1))</f>
        <v>1</v>
      </c>
    </row>
    <row r="24" spans="1:10" ht="15" thickBot="1" x14ac:dyDescent="0.35">
      <c r="A24" s="4">
        <v>123</v>
      </c>
      <c r="B24" s="5" t="s">
        <v>31</v>
      </c>
      <c r="C24" s="5" t="s">
        <v>34</v>
      </c>
      <c r="D24" s="5" t="s">
        <v>30</v>
      </c>
      <c r="E24" s="4">
        <v>3</v>
      </c>
      <c r="F24" s="4">
        <v>610</v>
      </c>
      <c r="G24" s="4">
        <v>1830</v>
      </c>
      <c r="H24" s="4" t="s">
        <v>56</v>
      </c>
      <c r="I24" s="3"/>
    </row>
    <row r="25" spans="1:10" ht="15" thickBot="1" x14ac:dyDescent="0.35">
      <c r="A25" s="4">
        <v>124</v>
      </c>
      <c r="B25" s="5" t="s">
        <v>36</v>
      </c>
      <c r="C25" s="5" t="s">
        <v>37</v>
      </c>
      <c r="D25" s="5" t="s">
        <v>35</v>
      </c>
      <c r="E25" s="4">
        <v>10</v>
      </c>
      <c r="F25" s="4">
        <v>29</v>
      </c>
      <c r="G25" s="4">
        <v>290</v>
      </c>
      <c r="H25" s="4" t="s">
        <v>57</v>
      </c>
      <c r="I25" s="3"/>
    </row>
    <row r="26" spans="1:10" ht="15" thickBot="1" x14ac:dyDescent="0.35">
      <c r="A26" s="4">
        <v>125</v>
      </c>
      <c r="B26" s="5" t="s">
        <v>38</v>
      </c>
      <c r="C26" s="5" t="s">
        <v>29</v>
      </c>
      <c r="D26" s="5" t="s">
        <v>39</v>
      </c>
      <c r="E26" s="4">
        <v>9</v>
      </c>
      <c r="F26" s="4">
        <v>43</v>
      </c>
      <c r="G26" s="4">
        <v>387</v>
      </c>
      <c r="H26" s="1">
        <v>45293</v>
      </c>
      <c r="I26" s="3"/>
    </row>
    <row r="27" spans="1:10" ht="15" thickBot="1" x14ac:dyDescent="0.35">
      <c r="A27" s="4">
        <v>126</v>
      </c>
      <c r="B27" s="5" t="s">
        <v>28</v>
      </c>
      <c r="C27" s="5" t="s">
        <v>32</v>
      </c>
      <c r="D27" s="5" t="s">
        <v>33</v>
      </c>
      <c r="E27" s="4">
        <v>11</v>
      </c>
      <c r="F27" s="4">
        <v>148</v>
      </c>
      <c r="G27" s="4">
        <v>1628</v>
      </c>
      <c r="H27" s="1">
        <v>45324</v>
      </c>
      <c r="I27" s="3"/>
    </row>
    <row r="28" spans="1:10" ht="15" thickBot="1" x14ac:dyDescent="0.35">
      <c r="A28" s="4">
        <v>127</v>
      </c>
      <c r="B28" s="5" t="s">
        <v>31</v>
      </c>
      <c r="C28" s="5" t="s">
        <v>34</v>
      </c>
      <c r="D28" s="5" t="s">
        <v>39</v>
      </c>
      <c r="E28" s="4">
        <v>6</v>
      </c>
      <c r="F28" s="4">
        <v>42</v>
      </c>
      <c r="G28" s="4">
        <v>252</v>
      </c>
      <c r="H28" s="1">
        <v>45353</v>
      </c>
      <c r="I28" s="3"/>
    </row>
    <row r="29" spans="1:10" ht="15" thickBot="1" x14ac:dyDescent="0.35">
      <c r="A29" s="4">
        <v>128</v>
      </c>
      <c r="B29" s="5" t="s">
        <v>36</v>
      </c>
      <c r="C29" s="5" t="s">
        <v>37</v>
      </c>
      <c r="D29" s="5" t="s">
        <v>30</v>
      </c>
      <c r="E29" s="4">
        <v>5</v>
      </c>
      <c r="F29" s="4">
        <v>595</v>
      </c>
      <c r="G29" s="4">
        <v>2975</v>
      </c>
      <c r="H29" s="1">
        <v>45384</v>
      </c>
      <c r="I29" s="3"/>
    </row>
    <row r="30" spans="1:10" ht="15" thickBot="1" x14ac:dyDescent="0.35">
      <c r="A30" s="4">
        <v>129</v>
      </c>
      <c r="B30" s="5" t="s">
        <v>38</v>
      </c>
      <c r="C30" s="5" t="s">
        <v>29</v>
      </c>
      <c r="D30" s="5" t="s">
        <v>35</v>
      </c>
      <c r="E30" s="4">
        <v>13</v>
      </c>
      <c r="F30" s="4">
        <v>27</v>
      </c>
      <c r="G30" s="4">
        <v>351</v>
      </c>
      <c r="H30" s="1">
        <v>45414</v>
      </c>
      <c r="I30" s="3"/>
    </row>
    <row r="31" spans="1:10" ht="15" thickBot="1" x14ac:dyDescent="0.35">
      <c r="A31" s="4">
        <v>130</v>
      </c>
      <c r="B31" s="5" t="s">
        <v>28</v>
      </c>
      <c r="C31" s="5" t="s">
        <v>32</v>
      </c>
      <c r="D31" s="5" t="s">
        <v>30</v>
      </c>
      <c r="E31" s="4">
        <v>7</v>
      </c>
      <c r="F31" s="4">
        <v>600</v>
      </c>
      <c r="G31" s="4">
        <v>4200</v>
      </c>
      <c r="H31" s="1">
        <v>45445</v>
      </c>
      <c r="I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MAHABOOB BASHA SHAIK</dc:creator>
  <cp:lastModifiedBy>MAHABOOB BASHA SHAIK</cp:lastModifiedBy>
  <dcterms:created xsi:type="dcterms:W3CDTF">2026-03-04T16:47:22Z</dcterms:created>
  <dcterms:modified xsi:type="dcterms:W3CDTF">2026-03-04T16:55:34Z</dcterms:modified>
</cp:coreProperties>
</file>